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Geocinds\PycharmProjects\GFX\"/>
    </mc:Choice>
  </mc:AlternateContent>
  <xr:revisionPtr revIDLastSave="0" documentId="13_ncr:1_{61EFEB80-B5D0-4E9D-A899-A0705198A581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Данные по бетону" sheetId="1" r:id="rId1"/>
    <sheet name="Данные по ГМ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2" l="1"/>
  <c r="C4" i="2"/>
  <c r="B20" i="2"/>
  <c r="C20" i="2" s="1"/>
  <c r="B9" i="2"/>
  <c r="C9" i="2" s="1"/>
  <c r="B5" i="2" s="1"/>
  <c r="G39" i="2"/>
  <c r="G38" i="2"/>
  <c r="G37" i="2"/>
  <c r="G27" i="2"/>
  <c r="G28" i="2"/>
  <c r="G29" i="2"/>
  <c r="G30" i="2"/>
  <c r="G31" i="2"/>
  <c r="G32" i="2"/>
  <c r="G33" i="2"/>
  <c r="G34" i="2"/>
  <c r="G35" i="2"/>
  <c r="G36" i="2"/>
  <c r="G26" i="2"/>
  <c r="G25" i="2"/>
  <c r="G24" i="2"/>
  <c r="G23" i="2"/>
  <c r="G22" i="2"/>
  <c r="G21" i="2"/>
  <c r="G20" i="2"/>
  <c r="G19" i="2"/>
  <c r="G18" i="2"/>
  <c r="G17" i="2"/>
  <c r="G15" i="2"/>
  <c r="G14" i="2"/>
  <c r="G12" i="2"/>
  <c r="G11" i="2"/>
  <c r="G10" i="2"/>
  <c r="G9" i="2"/>
  <c r="G8" i="2"/>
  <c r="G7" i="2"/>
  <c r="G6" i="2"/>
  <c r="C3" i="2"/>
  <c r="C7" i="2"/>
  <c r="C8" i="2"/>
  <c r="B10" i="2" s="1"/>
  <c r="C10" i="2" s="1"/>
  <c r="C26" i="2"/>
  <c r="C27" i="2"/>
  <c r="C28" i="2"/>
  <c r="C29" i="2"/>
  <c r="C30" i="2"/>
  <c r="C31" i="2"/>
  <c r="C32" i="2"/>
  <c r="C33" i="2"/>
  <c r="C34" i="2"/>
  <c r="C35" i="2"/>
  <c r="C36" i="2"/>
  <c r="C38" i="2"/>
  <c r="C2" i="2"/>
  <c r="G5" i="2"/>
  <c r="G4" i="2"/>
  <c r="G3" i="2"/>
  <c r="G2" i="2"/>
  <c r="B11" i="2" l="1"/>
  <c r="B39" i="2"/>
  <c r="C39" i="2" s="1"/>
  <c r="B14" i="2" l="1"/>
  <c r="B15" i="2"/>
  <c r="B12" i="2" s="1"/>
  <c r="C17" i="2"/>
  <c r="B18" i="2" s="1"/>
  <c r="C18" i="2" s="1"/>
  <c r="B19" i="2" s="1"/>
  <c r="C6" i="2"/>
  <c r="C5" i="2"/>
  <c r="C11" i="2"/>
  <c r="C14" i="2"/>
  <c r="C25" i="2" l="1"/>
  <c r="C19" i="2"/>
  <c r="B21" i="2" s="1"/>
  <c r="C12" i="2"/>
  <c r="C15" i="2"/>
  <c r="B13" i="2" s="1"/>
  <c r="C13" i="2" s="1"/>
  <c r="B16" i="2" s="1"/>
  <c r="C16" i="2" s="1"/>
  <c r="C21" i="2" l="1"/>
  <c r="B23" i="2"/>
  <c r="C23" i="2" s="1"/>
  <c r="B24" i="2"/>
  <c r="B22" i="2" l="1"/>
  <c r="C24" i="2"/>
  <c r="B37" i="2" l="1"/>
  <c r="C37" i="2" s="1"/>
  <c r="C22" i="2"/>
</calcChain>
</file>

<file path=xl/sharedStrings.xml><?xml version="1.0" encoding="utf-8"?>
<sst xmlns="http://schemas.openxmlformats.org/spreadsheetml/2006/main" count="118" uniqueCount="112">
  <si>
    <t>первый ярус фундаментной плиты камеры шлюза</t>
  </si>
  <si>
    <t>18-12-2024</t>
  </si>
  <si>
    <t>07-06-2025</t>
  </si>
  <si>
    <t>второй ярус фундаментной плиты камеры шлюза</t>
  </si>
  <si>
    <t>третий ярус фундаментной плиты камеры шлюза</t>
  </si>
  <si>
    <t>03-04-2025</t>
  </si>
  <si>
    <t>19-07-2025</t>
  </si>
  <si>
    <t>устои 13 секции камеры шлюза</t>
  </si>
  <si>
    <t>04-09-2025</t>
  </si>
  <si>
    <t>30-09-2025</t>
  </si>
  <si>
    <t>устои 12 секции камеры шлюза</t>
  </si>
  <si>
    <t>10-08-2025</t>
  </si>
  <si>
    <t>устои 11 секции камеры шлюза</t>
  </si>
  <si>
    <t>24-07-2025</t>
  </si>
  <si>
    <t>17-08-2025</t>
  </si>
  <si>
    <t>устои 10 секции камеры шлюза</t>
  </si>
  <si>
    <t>06-09-2025</t>
  </si>
  <si>
    <t>устои 9 секции камеры шлюза</t>
  </si>
  <si>
    <t>10-06-2025</t>
  </si>
  <si>
    <t>04-07-2025</t>
  </si>
  <si>
    <t>устои 8 секции камеры шлюза</t>
  </si>
  <si>
    <t>18-10-2025</t>
  </si>
  <si>
    <t>01-11-2025</t>
  </si>
  <si>
    <t>устои 7 секции камеры шлюза</t>
  </si>
  <si>
    <t>02-07-2025</t>
  </si>
  <si>
    <t>26-07-2025</t>
  </si>
  <si>
    <t>устои 6 секции камеры шлюза</t>
  </si>
  <si>
    <t>28-09-2025</t>
  </si>
  <si>
    <t>22-10-2025</t>
  </si>
  <si>
    <t>устои 5 секции камеры шлюза</t>
  </si>
  <si>
    <t>01-08-2025</t>
  </si>
  <si>
    <t>25-08-2025</t>
  </si>
  <si>
    <t>устои 4 секции камеры шлюза</t>
  </si>
  <si>
    <t>19-10-2025</t>
  </si>
  <si>
    <t>12-11-2025</t>
  </si>
  <si>
    <t>устои 3 секции камеры шлюза</t>
  </si>
  <si>
    <t>31-10-2025</t>
  </si>
  <si>
    <t>23-11-2025</t>
  </si>
  <si>
    <t>устои 2 секции камеры шлюза</t>
  </si>
  <si>
    <t>14-11-2025</t>
  </si>
  <si>
    <t>устои 1 секции камеры шлюза</t>
  </si>
  <si>
    <t>26-11-2025</t>
  </si>
  <si>
    <t>первый ярус НГ отм. 53,000-56,000</t>
  </si>
  <si>
    <t>15-05-2025</t>
  </si>
  <si>
    <t>19-06-2025</t>
  </si>
  <si>
    <t>второй ярус НГ отм. 56,000-57,500</t>
  </si>
  <si>
    <t>31-07-2025</t>
  </si>
  <si>
    <t>третий ярус НГ отм. 57,500-59,000</t>
  </si>
  <si>
    <t>01-07-2025</t>
  </si>
  <si>
    <t>18-08-2025</t>
  </si>
  <si>
    <t>четвёртый ярус отм. 59,000-60,000</t>
  </si>
  <si>
    <t>25-07-2025</t>
  </si>
  <si>
    <t>05-09-2025</t>
  </si>
  <si>
    <t>пятый ярус НГ отм. 60,000-64,000</t>
  </si>
  <si>
    <t>20-08-2025</t>
  </si>
  <si>
    <t>02-10-2025</t>
  </si>
  <si>
    <t>шестой ярус НГ отм. 64,000-68,000</t>
  </si>
  <si>
    <t>01-09-2025</t>
  </si>
  <si>
    <t>21-10-2025</t>
  </si>
  <si>
    <t>седьмой ярус НГ отм. 68,000-72,000</t>
  </si>
  <si>
    <t>01-10-2025</t>
  </si>
  <si>
    <t>09-11-2025</t>
  </si>
  <si>
    <t>восьмой ярус НГ отм. 72,000-76,000</t>
  </si>
  <si>
    <t>09-10-2025</t>
  </si>
  <si>
    <t>28-11-2025</t>
  </si>
  <si>
    <t>девятый ярус НГ отм. 76,000-78,100</t>
  </si>
  <si>
    <t>16-12-2025</t>
  </si>
  <si>
    <t>левобережная ОВГ</t>
  </si>
  <si>
    <t>правобережная ОВГ</t>
  </si>
  <si>
    <t>пазовые конструкции и закладные части ОВГ</t>
  </si>
  <si>
    <t>гидроприводы и затворы ОВГ</t>
  </si>
  <si>
    <t>анкера гальсбантов ОДВ НГ</t>
  </si>
  <si>
    <t>створки ОДВ НГ</t>
  </si>
  <si>
    <t>гидроприводы и гальсбанты ОДВ НГ</t>
  </si>
  <si>
    <t>мостик пешеходный ОДВ НГ</t>
  </si>
  <si>
    <t>уплотнение ОДВ НГ</t>
  </si>
  <si>
    <t>рама отбойная ОДВ НГ</t>
  </si>
  <si>
    <t>закладные уголки РДВ НГ</t>
  </si>
  <si>
    <t>колонны подушек, рамы подпятников, пятовые устройства, подушки РДВ НГ</t>
  </si>
  <si>
    <t>поддерживающие конструкции для сборки створок РДВ НГ</t>
  </si>
  <si>
    <t>створки РДВ НГ</t>
  </si>
  <si>
    <t>мостик пешеходный РДВ НГ</t>
  </si>
  <si>
    <t>уплотнение РДВ НГ</t>
  </si>
  <si>
    <t>рама отбойная РДВ НГ</t>
  </si>
  <si>
    <t>приспособление для подъёма створок в ремонтное положение</t>
  </si>
  <si>
    <t>секция 2 КШ закладные и рым</t>
  </si>
  <si>
    <t>секция 3 КШ закладные и рым</t>
  </si>
  <si>
    <t>секция 4 КШ закладные и рым</t>
  </si>
  <si>
    <t>секция 5 КШ закладные и рым</t>
  </si>
  <si>
    <t>секция 6 КШ закладные и рым</t>
  </si>
  <si>
    <t>секция 7 КШ закладные и рым</t>
  </si>
  <si>
    <t>секция 8 КШ закладные и рым</t>
  </si>
  <si>
    <t>секция 9 КШ закладные и рым</t>
  </si>
  <si>
    <t>секция 10 КШ закладные и рым</t>
  </si>
  <si>
    <t>секция 11 КШ закладные и рым</t>
  </si>
  <si>
    <t>секция 12 КШ закладные и рым</t>
  </si>
  <si>
    <t>система майнообразования и льдоотгона</t>
  </si>
  <si>
    <t>реконструкция двустворчатых ворот 30,0-14,04-13,14</t>
  </si>
  <si>
    <t>монтаж накатной платформы</t>
  </si>
  <si>
    <t>пазовые конструкции и решётки СУР</t>
  </si>
  <si>
    <t>поддерживающие конструкции для сборки створок ОДВ НГ</t>
  </si>
  <si>
    <t>колонны кронштейна, кронштейн закладной РДВ НГ</t>
  </si>
  <si>
    <t>Наименование работ</t>
  </si>
  <si>
    <t>Дата начала</t>
  </si>
  <si>
    <t>Дата окончания</t>
  </si>
  <si>
    <t>Продолжительность</t>
  </si>
  <si>
    <t>Выработка, т*ч/мес</t>
  </si>
  <si>
    <t>К-во чел.</t>
  </si>
  <si>
    <t>Тоннаж</t>
  </si>
  <si>
    <t>пятовые устройства с монтажными рамами и монтажные колонны ОДВ НГ с закладными подушками</t>
  </si>
  <si>
    <t xml:space="preserve">выверка вертикальности оси вращения створок и заливка баббита </t>
  </si>
  <si>
    <t>монтаж порогов и вертикальных облицовок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</si>
</sst>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Fill="1" applyBorder="1"/>
    <xf numFmtId="164" fontId="0" fillId="0" borderId="1" xfId="0" applyNumberFormat="1" applyFill="1" applyBorder="1"/>
    <xf numFmtId="14" fontId="0" fillId="2" borderId="2" xfId="0" applyNumberFormat="1" applyFill="1" applyBorder="1"/>
    <xf numFmtId="0" fontId="0" fillId="0" borderId="2" xfId="0" applyFill="1" applyBorder="1"/>
    <xf numFmtId="164" fontId="0" fillId="0" borderId="2" xfId="0" applyNumberFormat="1" applyFill="1" applyBorder="1"/>
    <xf numFmtId="14" fontId="0" fillId="0" borderId="2" xfId="0" applyNumberFormat="1" applyFill="1" applyBorder="1"/>
    <xf numFmtId="14" fontId="0" fillId="0" borderId="1" xfId="0" applyNumberFormat="1" applyFill="1" applyBorder="1"/>
    <xf numFmtId="0" fontId="0" fillId="0" borderId="3" xfId="0" applyBorder="1"/>
    <xf numFmtId="14" fontId="0" fillId="0" borderId="3" xfId="0" applyNumberFormat="1" applyBorder="1"/>
    <xf numFmtId="0" fontId="0" fillId="0" borderId="3" xfId="0" applyFill="1" applyBorder="1"/>
    <xf numFmtId="164" fontId="0" fillId="0" borderId="3" xfId="0" applyNumberFormat="1" applyFill="1" applyBorder="1"/>
    <xf numFmtId="0" fontId="0" fillId="0" borderId="4" xfId="0" applyBorder="1" applyAlignment="1">
      <alignment horizontal="center"/>
    </xf>
    <xf numFmtId="14" fontId="0" fillId="3" borderId="1" xfId="0" applyNumberFormat="1" applyFill="1" applyBorder="1"/>
    <xf numFmtId="14" fontId="0" fillId="4" borderId="1" xfId="0" applyNumberFormat="1" applyFill="1" applyBorder="1"/>
    <xf numFmtId="14" fontId="1" fillId="0" borderId="2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E8" sqref="E8"/>
    </sheetView>
  </sheetViews>
  <sheetFormatPr defaultRowHeight="14.5" x14ac:dyDescent="0.35"/>
  <cols>
    <col min="1" max="1" width="45" customWidth="1"/>
    <col min="2" max="3" width="1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8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9</v>
      </c>
    </row>
    <row r="8" spans="1:3" x14ac:dyDescent="0.35">
      <c r="A8" t="s">
        <v>17</v>
      </c>
      <c r="B8" t="s">
        <v>18</v>
      </c>
      <c r="C8" t="s">
        <v>19</v>
      </c>
    </row>
    <row r="9" spans="1:3" x14ac:dyDescent="0.35">
      <c r="A9" t="s">
        <v>20</v>
      </c>
      <c r="B9" t="s">
        <v>21</v>
      </c>
      <c r="C9" t="s">
        <v>22</v>
      </c>
    </row>
    <row r="10" spans="1:3" x14ac:dyDescent="0.35">
      <c r="A10" t="s">
        <v>23</v>
      </c>
      <c r="B10" t="s">
        <v>24</v>
      </c>
      <c r="C10" t="s">
        <v>25</v>
      </c>
    </row>
    <row r="11" spans="1:3" x14ac:dyDescent="0.35">
      <c r="A11" t="s">
        <v>26</v>
      </c>
      <c r="B11" t="s">
        <v>27</v>
      </c>
      <c r="C11" t="s">
        <v>28</v>
      </c>
    </row>
    <row r="12" spans="1:3" x14ac:dyDescent="0.35">
      <c r="A12" t="s">
        <v>29</v>
      </c>
      <c r="B12" t="s">
        <v>30</v>
      </c>
      <c r="C12" t="s">
        <v>31</v>
      </c>
    </row>
    <row r="13" spans="1:3" x14ac:dyDescent="0.35">
      <c r="A13" t="s">
        <v>32</v>
      </c>
      <c r="B13" t="s">
        <v>33</v>
      </c>
      <c r="C13" t="s">
        <v>34</v>
      </c>
    </row>
    <row r="14" spans="1:3" x14ac:dyDescent="0.35">
      <c r="A14" t="s">
        <v>35</v>
      </c>
      <c r="B14" t="s">
        <v>36</v>
      </c>
      <c r="C14" t="s">
        <v>37</v>
      </c>
    </row>
    <row r="15" spans="1:3" x14ac:dyDescent="0.35">
      <c r="A15" t="s">
        <v>38</v>
      </c>
      <c r="B15" t="s">
        <v>33</v>
      </c>
      <c r="C15" t="s">
        <v>39</v>
      </c>
    </row>
    <row r="16" spans="1:3" x14ac:dyDescent="0.35">
      <c r="A16" t="s">
        <v>40</v>
      </c>
      <c r="B16" t="s">
        <v>22</v>
      </c>
      <c r="C16" t="s">
        <v>41</v>
      </c>
    </row>
    <row r="17" spans="1:3" x14ac:dyDescent="0.35">
      <c r="A17" t="s">
        <v>42</v>
      </c>
      <c r="B17" t="s">
        <v>43</v>
      </c>
      <c r="C17" t="s">
        <v>44</v>
      </c>
    </row>
    <row r="18" spans="1:3" x14ac:dyDescent="0.35">
      <c r="A18" t="s">
        <v>45</v>
      </c>
      <c r="B18" t="s">
        <v>44</v>
      </c>
      <c r="C18" t="s">
        <v>46</v>
      </c>
    </row>
    <row r="19" spans="1:3" x14ac:dyDescent="0.35">
      <c r="A19" t="s">
        <v>47</v>
      </c>
      <c r="B19" t="s">
        <v>48</v>
      </c>
      <c r="C19" t="s">
        <v>49</v>
      </c>
    </row>
    <row r="20" spans="1:3" x14ac:dyDescent="0.35">
      <c r="A20" t="s">
        <v>50</v>
      </c>
      <c r="B20" t="s">
        <v>51</v>
      </c>
      <c r="C20" t="s">
        <v>52</v>
      </c>
    </row>
    <row r="21" spans="1:3" x14ac:dyDescent="0.35">
      <c r="A21" t="s">
        <v>53</v>
      </c>
      <c r="B21" t="s">
        <v>54</v>
      </c>
      <c r="C21" t="s">
        <v>55</v>
      </c>
    </row>
    <row r="22" spans="1:3" x14ac:dyDescent="0.35">
      <c r="A22" t="s">
        <v>56</v>
      </c>
      <c r="B22" t="s">
        <v>57</v>
      </c>
      <c r="C22" t="s">
        <v>58</v>
      </c>
    </row>
    <row r="23" spans="1:3" x14ac:dyDescent="0.35">
      <c r="A23" t="s">
        <v>59</v>
      </c>
      <c r="B23" t="s">
        <v>60</v>
      </c>
      <c r="C23" t="s">
        <v>61</v>
      </c>
    </row>
    <row r="24" spans="1:3" x14ac:dyDescent="0.35">
      <c r="A24" t="s">
        <v>62</v>
      </c>
      <c r="B24" t="s">
        <v>63</v>
      </c>
      <c r="C24" t="s">
        <v>64</v>
      </c>
    </row>
    <row r="25" spans="1:3" x14ac:dyDescent="0.35">
      <c r="A25" t="s">
        <v>65</v>
      </c>
      <c r="B25" t="s">
        <v>22</v>
      </c>
      <c r="C25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tabSelected="1" zoomScale="85" zoomScaleNormal="85" workbookViewId="0">
      <selection activeCell="O19" sqref="O19"/>
    </sheetView>
  </sheetViews>
  <sheetFormatPr defaultRowHeight="14.5" x14ac:dyDescent="0.35"/>
  <cols>
    <col min="1" max="1" width="110.26953125" customWidth="1"/>
    <col min="2" max="3" width="15" customWidth="1"/>
    <col min="4" max="4" width="17.90625" customWidth="1"/>
    <col min="5" max="5" width="16.26953125" customWidth="1"/>
    <col min="6" max="6" width="12.1796875" customWidth="1"/>
    <col min="7" max="7" width="16.90625" customWidth="1"/>
  </cols>
  <sheetData>
    <row r="1" spans="1:7" ht="15" thickBot="1" x14ac:dyDescent="0.4">
      <c r="A1" s="18" t="s">
        <v>102</v>
      </c>
      <c r="B1" s="18" t="s">
        <v>103</v>
      </c>
      <c r="C1" s="18" t="s">
        <v>104</v>
      </c>
      <c r="D1" s="18" t="s">
        <v>105</v>
      </c>
      <c r="E1" s="18" t="s">
        <v>108</v>
      </c>
      <c r="F1" s="18" t="s">
        <v>107</v>
      </c>
      <c r="G1" s="18" t="s">
        <v>106</v>
      </c>
    </row>
    <row r="2" spans="1:7" x14ac:dyDescent="0.35">
      <c r="A2" s="1" t="s">
        <v>67</v>
      </c>
      <c r="B2" s="2">
        <v>45820</v>
      </c>
      <c r="C2" s="2">
        <f>B2+D2</f>
        <v>45928</v>
      </c>
      <c r="D2" s="1">
        <v>108</v>
      </c>
      <c r="E2" s="1">
        <v>28.15</v>
      </c>
      <c r="F2" s="1">
        <v>6</v>
      </c>
      <c r="G2" s="3">
        <f t="shared" ref="G2:G26" si="0">E2/F2/D2*30</f>
        <v>1.3032407407407405</v>
      </c>
    </row>
    <row r="3" spans="1:7" x14ac:dyDescent="0.35">
      <c r="A3" s="1" t="s">
        <v>68</v>
      </c>
      <c r="B3" s="2">
        <v>45812</v>
      </c>
      <c r="C3" s="2">
        <f t="shared" ref="C3:C39" si="1">B3+D3</f>
        <v>45928</v>
      </c>
      <c r="D3" s="1">
        <v>116</v>
      </c>
      <c r="E3" s="1">
        <v>28.15</v>
      </c>
      <c r="F3" s="1">
        <v>6</v>
      </c>
      <c r="G3" s="3">
        <f t="shared" si="0"/>
        <v>1.2133620689655173</v>
      </c>
    </row>
    <row r="4" spans="1:7" x14ac:dyDescent="0.35">
      <c r="A4" s="1" t="s">
        <v>69</v>
      </c>
      <c r="B4" s="2">
        <v>45981</v>
      </c>
      <c r="C4" s="2">
        <f t="shared" si="1"/>
        <v>46111</v>
      </c>
      <c r="D4" s="1">
        <v>130</v>
      </c>
      <c r="E4" s="1">
        <v>61.17</v>
      </c>
      <c r="F4" s="1">
        <v>6</v>
      </c>
      <c r="G4" s="3">
        <f t="shared" si="0"/>
        <v>2.3526923076923079</v>
      </c>
    </row>
    <row r="5" spans="1:7" ht="15" thickBot="1" x14ac:dyDescent="0.4">
      <c r="A5" s="4" t="s">
        <v>70</v>
      </c>
      <c r="B5" s="20">
        <f>C9+1</f>
        <v>46207</v>
      </c>
      <c r="C5" s="5">
        <f t="shared" si="1"/>
        <v>46277</v>
      </c>
      <c r="D5" s="4">
        <v>70</v>
      </c>
      <c r="E5" s="4">
        <v>54.8</v>
      </c>
      <c r="F5" s="4">
        <v>6</v>
      </c>
      <c r="G5" s="6">
        <f t="shared" si="0"/>
        <v>3.9142857142857141</v>
      </c>
    </row>
    <row r="6" spans="1:7" ht="15" thickBot="1" x14ac:dyDescent="0.4">
      <c r="A6" s="4" t="s">
        <v>99</v>
      </c>
      <c r="B6" s="19">
        <v>46082</v>
      </c>
      <c r="C6" s="5">
        <f t="shared" si="1"/>
        <v>46112</v>
      </c>
      <c r="D6" s="4">
        <v>30</v>
      </c>
      <c r="E6" s="7">
        <v>18.600000000000001</v>
      </c>
      <c r="F6" s="7">
        <v>6</v>
      </c>
      <c r="G6" s="8">
        <f t="shared" si="0"/>
        <v>3.1</v>
      </c>
    </row>
    <row r="7" spans="1:7" x14ac:dyDescent="0.35">
      <c r="A7" s="1" t="s">
        <v>109</v>
      </c>
      <c r="B7" s="9">
        <v>46054</v>
      </c>
      <c r="C7" s="2">
        <f t="shared" si="1"/>
        <v>46174</v>
      </c>
      <c r="D7" s="1">
        <v>120</v>
      </c>
      <c r="E7" s="10">
        <v>82.6</v>
      </c>
      <c r="F7" s="10">
        <v>6</v>
      </c>
      <c r="G7" s="11">
        <f t="shared" si="0"/>
        <v>3.4416666666666664</v>
      </c>
    </row>
    <row r="8" spans="1:7" x14ac:dyDescent="0.35">
      <c r="A8" s="1" t="s">
        <v>100</v>
      </c>
      <c r="B8" s="9">
        <v>46082</v>
      </c>
      <c r="C8" s="2">
        <f t="shared" si="1"/>
        <v>46102</v>
      </c>
      <c r="D8" s="1">
        <v>20</v>
      </c>
      <c r="E8" s="10">
        <v>17.91</v>
      </c>
      <c r="F8" s="10">
        <v>6</v>
      </c>
      <c r="G8" s="11">
        <f t="shared" si="0"/>
        <v>4.4775</v>
      </c>
    </row>
    <row r="9" spans="1:7" x14ac:dyDescent="0.35">
      <c r="A9" s="1" t="s">
        <v>71</v>
      </c>
      <c r="B9" s="21">
        <f>B7+D7+1</f>
        <v>46175</v>
      </c>
      <c r="C9" s="2">
        <f t="shared" si="1"/>
        <v>46206</v>
      </c>
      <c r="D9" s="1">
        <v>31</v>
      </c>
      <c r="E9" s="10">
        <v>15.64</v>
      </c>
      <c r="F9" s="10">
        <v>4</v>
      </c>
      <c r="G9" s="11">
        <f t="shared" si="0"/>
        <v>3.7838709677419353</v>
      </c>
    </row>
    <row r="10" spans="1:7" x14ac:dyDescent="0.35">
      <c r="A10" s="1" t="s">
        <v>72</v>
      </c>
      <c r="B10" s="12">
        <f>C8+1</f>
        <v>46103</v>
      </c>
      <c r="C10" s="2">
        <f t="shared" si="1"/>
        <v>46253</v>
      </c>
      <c r="D10" s="1">
        <v>150</v>
      </c>
      <c r="E10" s="10">
        <v>281.60000000000002</v>
      </c>
      <c r="F10" s="10">
        <v>12</v>
      </c>
      <c r="G10" s="11">
        <f t="shared" si="0"/>
        <v>4.6933333333333342</v>
      </c>
    </row>
    <row r="11" spans="1:7" x14ac:dyDescent="0.35">
      <c r="A11" s="1" t="s">
        <v>73</v>
      </c>
      <c r="B11" s="2">
        <f>B10+D10+1</f>
        <v>46254</v>
      </c>
      <c r="C11" s="2">
        <f t="shared" si="1"/>
        <v>46274</v>
      </c>
      <c r="D11" s="1">
        <v>20</v>
      </c>
      <c r="E11" s="10">
        <v>39.69</v>
      </c>
      <c r="F11" s="10">
        <v>3</v>
      </c>
      <c r="G11" s="11">
        <f t="shared" si="0"/>
        <v>19.844999999999999</v>
      </c>
    </row>
    <row r="12" spans="1:7" x14ac:dyDescent="0.35">
      <c r="A12" s="1" t="s">
        <v>74</v>
      </c>
      <c r="B12" s="2">
        <f>B15+D15+1</f>
        <v>46321</v>
      </c>
      <c r="C12" s="2">
        <f t="shared" si="1"/>
        <v>46336</v>
      </c>
      <c r="D12" s="1">
        <v>15</v>
      </c>
      <c r="E12" s="10">
        <v>12.6</v>
      </c>
      <c r="F12" s="10">
        <v>9</v>
      </c>
      <c r="G12" s="11">
        <f t="shared" si="0"/>
        <v>2.8</v>
      </c>
    </row>
    <row r="13" spans="1:7" x14ac:dyDescent="0.35">
      <c r="A13" s="1" t="s">
        <v>110</v>
      </c>
      <c r="B13" s="2">
        <f>C15+1</f>
        <v>46321</v>
      </c>
      <c r="C13" s="2">
        <f t="shared" si="1"/>
        <v>46341</v>
      </c>
      <c r="D13" s="1">
        <v>20</v>
      </c>
      <c r="E13" s="10"/>
      <c r="F13" s="10">
        <v>6</v>
      </c>
      <c r="G13" s="11"/>
    </row>
    <row r="14" spans="1:7" x14ac:dyDescent="0.35">
      <c r="A14" s="1" t="s">
        <v>75</v>
      </c>
      <c r="B14" s="2">
        <f>B11+D11+1</f>
        <v>46275</v>
      </c>
      <c r="C14" s="2">
        <f t="shared" si="1"/>
        <v>46295</v>
      </c>
      <c r="D14" s="1">
        <v>20</v>
      </c>
      <c r="E14" s="10">
        <v>7.32</v>
      </c>
      <c r="F14" s="10">
        <v>3</v>
      </c>
      <c r="G14" s="11">
        <f t="shared" si="0"/>
        <v>3.66</v>
      </c>
    </row>
    <row r="15" spans="1:7" x14ac:dyDescent="0.35">
      <c r="A15" s="1" t="s">
        <v>76</v>
      </c>
      <c r="B15" s="2">
        <f>B11+D11+1</f>
        <v>46275</v>
      </c>
      <c r="C15" s="2">
        <f t="shared" si="1"/>
        <v>46320</v>
      </c>
      <c r="D15" s="1">
        <v>45</v>
      </c>
      <c r="E15" s="1">
        <v>47.4</v>
      </c>
      <c r="F15" s="1">
        <v>9</v>
      </c>
      <c r="G15" s="3">
        <f t="shared" si="0"/>
        <v>3.5111111111111111</v>
      </c>
    </row>
    <row r="16" spans="1:7" ht="15" thickBot="1" x14ac:dyDescent="0.4">
      <c r="A16" s="4" t="s">
        <v>111</v>
      </c>
      <c r="B16" s="20">
        <f>C13+1</f>
        <v>46342</v>
      </c>
      <c r="C16" s="5">
        <f t="shared" si="1"/>
        <v>46349</v>
      </c>
      <c r="D16" s="4">
        <v>7</v>
      </c>
      <c r="E16" s="4">
        <v>4.34</v>
      </c>
      <c r="F16" s="4">
        <v>6</v>
      </c>
      <c r="G16" s="6">
        <f t="shared" si="0"/>
        <v>3.0999999999999996</v>
      </c>
    </row>
    <row r="17" spans="1:7" x14ac:dyDescent="0.35">
      <c r="A17" s="1" t="s">
        <v>101</v>
      </c>
      <c r="B17" s="9">
        <v>46122</v>
      </c>
      <c r="C17" s="2">
        <f t="shared" si="1"/>
        <v>46129</v>
      </c>
      <c r="D17" s="1">
        <v>7</v>
      </c>
      <c r="E17" s="10">
        <v>3.41</v>
      </c>
      <c r="F17" s="10">
        <v>4</v>
      </c>
      <c r="G17" s="11">
        <f t="shared" si="0"/>
        <v>3.6535714285714285</v>
      </c>
    </row>
    <row r="18" spans="1:7" x14ac:dyDescent="0.35">
      <c r="A18" s="1" t="s">
        <v>77</v>
      </c>
      <c r="B18" s="2">
        <f>C17+1</f>
        <v>46130</v>
      </c>
      <c r="C18" s="2">
        <f t="shared" si="1"/>
        <v>46145</v>
      </c>
      <c r="D18" s="1">
        <v>15</v>
      </c>
      <c r="E18" s="10">
        <v>8.6</v>
      </c>
      <c r="F18" s="10">
        <v>4</v>
      </c>
      <c r="G18" s="11">
        <f t="shared" si="0"/>
        <v>4.3</v>
      </c>
    </row>
    <row r="19" spans="1:7" x14ac:dyDescent="0.35">
      <c r="A19" s="1" t="s">
        <v>78</v>
      </c>
      <c r="B19" s="2">
        <f>C18+1</f>
        <v>46146</v>
      </c>
      <c r="C19" s="2">
        <f t="shared" si="1"/>
        <v>46176</v>
      </c>
      <c r="D19" s="1">
        <v>30</v>
      </c>
      <c r="E19" s="10">
        <v>17.170000000000002</v>
      </c>
      <c r="F19" s="10">
        <v>4</v>
      </c>
      <c r="G19" s="11">
        <f t="shared" si="0"/>
        <v>4.2925000000000004</v>
      </c>
    </row>
    <row r="20" spans="1:7" x14ac:dyDescent="0.35">
      <c r="A20" s="1" t="s">
        <v>79</v>
      </c>
      <c r="B20" s="2">
        <f>B8+D8+1</f>
        <v>46103</v>
      </c>
      <c r="C20" s="2">
        <f t="shared" si="1"/>
        <v>46134</v>
      </c>
      <c r="D20" s="1">
        <v>31</v>
      </c>
      <c r="E20" s="10">
        <v>23.53</v>
      </c>
      <c r="F20" s="10">
        <v>6</v>
      </c>
      <c r="G20" s="11">
        <f t="shared" si="0"/>
        <v>3.7951612903225813</v>
      </c>
    </row>
    <row r="21" spans="1:7" x14ac:dyDescent="0.35">
      <c r="A21" s="1" t="s">
        <v>80</v>
      </c>
      <c r="B21" s="2">
        <f>C19+1</f>
        <v>46177</v>
      </c>
      <c r="C21" s="2">
        <f t="shared" si="1"/>
        <v>46314</v>
      </c>
      <c r="D21" s="1">
        <v>137</v>
      </c>
      <c r="E21" s="10">
        <v>182.2</v>
      </c>
      <c r="F21" s="10">
        <v>10</v>
      </c>
      <c r="G21" s="11">
        <f t="shared" si="0"/>
        <v>3.98978102189781</v>
      </c>
    </row>
    <row r="22" spans="1:7" x14ac:dyDescent="0.35">
      <c r="A22" s="1" t="s">
        <v>81</v>
      </c>
      <c r="B22" s="2">
        <f>B24+D24+1</f>
        <v>46361</v>
      </c>
      <c r="C22" s="2">
        <f t="shared" si="1"/>
        <v>46376</v>
      </c>
      <c r="D22" s="1">
        <v>15</v>
      </c>
      <c r="E22" s="10">
        <v>15.64</v>
      </c>
      <c r="F22" s="10">
        <v>9</v>
      </c>
      <c r="G22" s="11">
        <f t="shared" si="0"/>
        <v>3.4755555555555557</v>
      </c>
    </row>
    <row r="23" spans="1:7" x14ac:dyDescent="0.35">
      <c r="A23" s="1" t="s">
        <v>82</v>
      </c>
      <c r="B23" s="2">
        <f>B21+D21+1</f>
        <v>46315</v>
      </c>
      <c r="C23" s="2">
        <f t="shared" si="1"/>
        <v>46335</v>
      </c>
      <c r="D23" s="1">
        <v>20</v>
      </c>
      <c r="E23" s="10">
        <v>6.35</v>
      </c>
      <c r="F23" s="10">
        <v>3</v>
      </c>
      <c r="G23" s="11">
        <f t="shared" si="0"/>
        <v>3.1749999999999998</v>
      </c>
    </row>
    <row r="24" spans="1:7" ht="15" thickBot="1" x14ac:dyDescent="0.4">
      <c r="A24" s="7" t="s">
        <v>83</v>
      </c>
      <c r="B24" s="13">
        <f>B21+D21+1</f>
        <v>46315</v>
      </c>
      <c r="C24" s="13">
        <f t="shared" si="1"/>
        <v>46360</v>
      </c>
      <c r="D24" s="7">
        <v>45</v>
      </c>
      <c r="E24" s="7">
        <v>51.58</v>
      </c>
      <c r="F24" s="7">
        <v>9</v>
      </c>
      <c r="G24" s="8">
        <f t="shared" si="0"/>
        <v>3.8207407407407405</v>
      </c>
    </row>
    <row r="25" spans="1:7" ht="15" thickBot="1" x14ac:dyDescent="0.4">
      <c r="A25" s="14" t="s">
        <v>84</v>
      </c>
      <c r="B25" s="15">
        <v>46113</v>
      </c>
      <c r="C25" s="15">
        <f t="shared" si="1"/>
        <v>46205</v>
      </c>
      <c r="D25" s="14">
        <v>92</v>
      </c>
      <c r="E25" s="16">
        <v>98.12</v>
      </c>
      <c r="F25" s="16">
        <v>10</v>
      </c>
      <c r="G25" s="17">
        <f t="shared" si="0"/>
        <v>3.1995652173913047</v>
      </c>
    </row>
    <row r="26" spans="1:7" x14ac:dyDescent="0.35">
      <c r="A26" s="1" t="s">
        <v>85</v>
      </c>
      <c r="B26" s="2">
        <v>46131</v>
      </c>
      <c r="C26" s="2">
        <f t="shared" si="1"/>
        <v>46171</v>
      </c>
      <c r="D26" s="1">
        <v>40</v>
      </c>
      <c r="E26" s="10">
        <v>47.78</v>
      </c>
      <c r="F26" s="10">
        <v>7</v>
      </c>
      <c r="G26" s="11">
        <f t="shared" si="0"/>
        <v>5.1192857142857147</v>
      </c>
    </row>
    <row r="27" spans="1:7" x14ac:dyDescent="0.35">
      <c r="A27" s="1" t="s">
        <v>86</v>
      </c>
      <c r="B27" s="2">
        <v>46090</v>
      </c>
      <c r="C27" s="2">
        <f t="shared" si="1"/>
        <v>46130</v>
      </c>
      <c r="D27" s="1">
        <v>40</v>
      </c>
      <c r="E27" s="10">
        <v>47.78</v>
      </c>
      <c r="F27" s="10">
        <v>7</v>
      </c>
      <c r="G27" s="11">
        <f t="shared" ref="G27:G39" si="2">E27/F27/D27*30</f>
        <v>5.1192857142857147</v>
      </c>
    </row>
    <row r="28" spans="1:7" x14ac:dyDescent="0.35">
      <c r="A28" s="1" t="s">
        <v>87</v>
      </c>
      <c r="B28" s="2">
        <v>46090</v>
      </c>
      <c r="C28" s="2">
        <f t="shared" si="1"/>
        <v>46130</v>
      </c>
      <c r="D28" s="1">
        <v>40</v>
      </c>
      <c r="E28" s="10">
        <v>47.78</v>
      </c>
      <c r="F28" s="10">
        <v>7</v>
      </c>
      <c r="G28" s="11">
        <f t="shared" si="2"/>
        <v>5.1192857142857147</v>
      </c>
    </row>
    <row r="29" spans="1:7" x14ac:dyDescent="0.35">
      <c r="A29" s="1" t="s">
        <v>88</v>
      </c>
      <c r="B29" s="2">
        <v>45926</v>
      </c>
      <c r="C29" s="2">
        <f t="shared" si="1"/>
        <v>45966</v>
      </c>
      <c r="D29" s="1">
        <v>40</v>
      </c>
      <c r="E29" s="10">
        <v>47.78</v>
      </c>
      <c r="F29" s="10">
        <v>7</v>
      </c>
      <c r="G29" s="11">
        <f t="shared" si="2"/>
        <v>5.1192857142857147</v>
      </c>
    </row>
    <row r="30" spans="1:7" x14ac:dyDescent="0.35">
      <c r="A30" s="1" t="s">
        <v>89</v>
      </c>
      <c r="B30" s="2">
        <v>46008</v>
      </c>
      <c r="C30" s="2">
        <f t="shared" si="1"/>
        <v>46048</v>
      </c>
      <c r="D30" s="1">
        <v>40</v>
      </c>
      <c r="E30" s="10">
        <v>47.78</v>
      </c>
      <c r="F30" s="10">
        <v>7</v>
      </c>
      <c r="G30" s="11">
        <f t="shared" si="2"/>
        <v>5.1192857142857147</v>
      </c>
    </row>
    <row r="31" spans="1:7" x14ac:dyDescent="0.35">
      <c r="A31" s="1" t="s">
        <v>90</v>
      </c>
      <c r="B31" s="2">
        <v>45967</v>
      </c>
      <c r="C31" s="2">
        <f t="shared" si="1"/>
        <v>46007</v>
      </c>
      <c r="D31" s="1">
        <v>40</v>
      </c>
      <c r="E31" s="10">
        <v>47.78</v>
      </c>
      <c r="F31" s="10">
        <v>7</v>
      </c>
      <c r="G31" s="11">
        <f t="shared" si="2"/>
        <v>5.1192857142857147</v>
      </c>
    </row>
    <row r="32" spans="1:7" x14ac:dyDescent="0.35">
      <c r="A32" s="1" t="s">
        <v>91</v>
      </c>
      <c r="B32" s="2">
        <v>46008</v>
      </c>
      <c r="C32" s="2">
        <f t="shared" si="1"/>
        <v>46048</v>
      </c>
      <c r="D32" s="1">
        <v>40</v>
      </c>
      <c r="E32" s="10">
        <v>47.78</v>
      </c>
      <c r="F32" s="10">
        <v>7</v>
      </c>
      <c r="G32" s="11">
        <f t="shared" si="2"/>
        <v>5.1192857142857147</v>
      </c>
    </row>
    <row r="33" spans="1:7" x14ac:dyDescent="0.35">
      <c r="A33" s="1" t="s">
        <v>92</v>
      </c>
      <c r="B33" s="2">
        <v>45967</v>
      </c>
      <c r="C33" s="2">
        <f t="shared" si="1"/>
        <v>46007</v>
      </c>
      <c r="D33" s="1">
        <v>40</v>
      </c>
      <c r="E33" s="10">
        <v>47.78</v>
      </c>
      <c r="F33" s="10">
        <v>7</v>
      </c>
      <c r="G33" s="11">
        <f t="shared" si="2"/>
        <v>5.1192857142857147</v>
      </c>
    </row>
    <row r="34" spans="1:7" x14ac:dyDescent="0.35">
      <c r="A34" s="1" t="s">
        <v>93</v>
      </c>
      <c r="B34" s="2">
        <v>46049</v>
      </c>
      <c r="C34" s="2">
        <f t="shared" si="1"/>
        <v>46089</v>
      </c>
      <c r="D34" s="1">
        <v>40</v>
      </c>
      <c r="E34" s="10">
        <v>47.78</v>
      </c>
      <c r="F34" s="10">
        <v>7</v>
      </c>
      <c r="G34" s="11">
        <f t="shared" si="2"/>
        <v>5.1192857142857147</v>
      </c>
    </row>
    <row r="35" spans="1:7" x14ac:dyDescent="0.35">
      <c r="A35" s="1" t="s">
        <v>94</v>
      </c>
      <c r="B35" s="2">
        <v>45926</v>
      </c>
      <c r="C35" s="2">
        <f t="shared" si="1"/>
        <v>45966</v>
      </c>
      <c r="D35" s="1">
        <v>40</v>
      </c>
      <c r="E35" s="10">
        <v>47.78</v>
      </c>
      <c r="F35" s="10">
        <v>7</v>
      </c>
      <c r="G35" s="11">
        <f t="shared" si="2"/>
        <v>5.1192857142857147</v>
      </c>
    </row>
    <row r="36" spans="1:7" ht="15" thickBot="1" x14ac:dyDescent="0.4">
      <c r="A36" s="4" t="s">
        <v>95</v>
      </c>
      <c r="B36" s="5">
        <v>46049</v>
      </c>
      <c r="C36" s="5">
        <f t="shared" si="1"/>
        <v>46089</v>
      </c>
      <c r="D36" s="4">
        <v>40</v>
      </c>
      <c r="E36" s="7">
        <v>47.78</v>
      </c>
      <c r="F36" s="7">
        <v>7</v>
      </c>
      <c r="G36" s="8">
        <f t="shared" si="2"/>
        <v>5.1192857142857147</v>
      </c>
    </row>
    <row r="37" spans="1:7" ht="15" thickBot="1" x14ac:dyDescent="0.4">
      <c r="A37" s="14" t="s">
        <v>96</v>
      </c>
      <c r="B37" s="15">
        <f>B22+D22+1</f>
        <v>46377</v>
      </c>
      <c r="C37" s="15">
        <f t="shared" si="1"/>
        <v>46407</v>
      </c>
      <c r="D37" s="14">
        <v>30</v>
      </c>
      <c r="E37" s="16">
        <v>10.45</v>
      </c>
      <c r="F37" s="16">
        <v>6</v>
      </c>
      <c r="G37" s="17">
        <f t="shared" si="2"/>
        <v>1.7416666666666665</v>
      </c>
    </row>
    <row r="38" spans="1:7" ht="15" thickBot="1" x14ac:dyDescent="0.4">
      <c r="A38" s="14" t="s">
        <v>97</v>
      </c>
      <c r="B38" s="15">
        <v>46082</v>
      </c>
      <c r="C38" s="15">
        <f t="shared" si="1"/>
        <v>46132</v>
      </c>
      <c r="D38" s="14">
        <v>50</v>
      </c>
      <c r="E38" s="16">
        <v>20.7</v>
      </c>
      <c r="F38" s="16">
        <v>3</v>
      </c>
      <c r="G38" s="17">
        <f t="shared" si="2"/>
        <v>4.1399999999999997</v>
      </c>
    </row>
    <row r="39" spans="1:7" ht="15" thickBot="1" x14ac:dyDescent="0.4">
      <c r="A39" s="14" t="s">
        <v>98</v>
      </c>
      <c r="B39" s="15">
        <f>B26</f>
        <v>46131</v>
      </c>
      <c r="C39" s="15">
        <f t="shared" si="1"/>
        <v>46233</v>
      </c>
      <c r="D39" s="14">
        <v>102</v>
      </c>
      <c r="E39" s="16">
        <v>96.2</v>
      </c>
      <c r="F39" s="16">
        <v>7</v>
      </c>
      <c r="G39" s="17">
        <f t="shared" si="2"/>
        <v>4.0420168067226898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 по бетону</vt:lpstr>
      <vt:lpstr>Данные по ГМО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Geocinds</cp:lastModifiedBy>
  <dcterms:created xsi:type="dcterms:W3CDTF">2025-08-28T02:16:53Z</dcterms:created>
  <dcterms:modified xsi:type="dcterms:W3CDTF">2026-03-07T01:56:12Z</dcterms:modified>
</cp:coreProperties>
</file>